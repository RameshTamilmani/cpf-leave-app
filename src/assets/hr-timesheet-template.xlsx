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1" documentId="8_{E25AC2B8-2C8F-41D0-BABA-953B3D0DDFC5}" xr6:coauthVersionLast="47" xr6:coauthVersionMax="47" xr10:uidLastSave="{0FBAE088-8662-4F2F-8A5D-C52A0B1691F5}"/>
  <bookViews>
    <workbookView xWindow="-110" yWindow="-110" windowWidth="19420" windowHeight="11500" xr2:uid="{00000000-000D-0000-FFFF-FFFF00000000}"/>
  </bookViews>
  <sheets>
    <sheet name="Optimum Time Sheet" sheetId="1" r:id="rId1"/>
    <sheet name="Sheet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D6" i="1"/>
  <c r="G11" i="1" l="1"/>
  <c r="E11" i="1"/>
  <c r="D15" i="1"/>
  <c r="E15" i="1" s="1"/>
  <c r="E14" i="1"/>
  <c r="D16" i="1" l="1"/>
  <c r="D17" i="1" l="1"/>
  <c r="E16" i="1"/>
  <c r="E17" i="1" l="1"/>
  <c r="D18" i="1"/>
  <c r="E18" i="1" l="1"/>
  <c r="D19" i="1"/>
  <c r="E19" i="1" l="1"/>
  <c r="D20" i="1"/>
  <c r="E20" i="1" l="1"/>
  <c r="D21" i="1"/>
  <c r="D22" i="1" l="1"/>
  <c r="E21" i="1"/>
  <c r="E22" i="1" l="1"/>
  <c r="D23" i="1"/>
  <c r="D24" i="1" l="1"/>
  <c r="E23" i="1"/>
  <c r="E24" i="1" l="1"/>
  <c r="D25" i="1"/>
  <c r="E25" i="1" l="1"/>
  <c r="D26" i="1"/>
  <c r="D27" i="1" l="1"/>
  <c r="E26" i="1"/>
  <c r="E27" i="1" l="1"/>
  <c r="D28" i="1"/>
  <c r="E28" i="1" l="1"/>
  <c r="D29" i="1"/>
  <c r="E29" i="1" l="1"/>
  <c r="D30" i="1"/>
  <c r="E30" i="1" l="1"/>
  <c r="D31" i="1"/>
  <c r="D32" i="1" l="1"/>
  <c r="E31" i="1"/>
  <c r="E32" i="1" l="1"/>
  <c r="D33" i="1"/>
  <c r="E33" i="1" l="1"/>
  <c r="D34" i="1"/>
  <c r="E34" i="1" l="1"/>
  <c r="D35" i="1"/>
  <c r="D36" i="1" l="1"/>
  <c r="E35" i="1"/>
  <c r="E36" i="1" l="1"/>
  <c r="D37" i="1"/>
  <c r="D38" i="1" l="1"/>
  <c r="E37" i="1"/>
  <c r="E38" i="1" l="1"/>
  <c r="D39" i="1"/>
  <c r="E39" i="1" l="1"/>
  <c r="D40" i="1"/>
  <c r="E40" i="1" l="1"/>
  <c r="D41" i="1"/>
  <c r="D42" i="1" s="1"/>
  <c r="D44" i="1" l="1"/>
  <c r="D43" i="1"/>
  <c r="E41" i="1"/>
  <c r="E42" i="1" l="1"/>
  <c r="E43" i="1" l="1"/>
  <c r="E44" i="1"/>
</calcChain>
</file>

<file path=xl/sharedStrings.xml><?xml version="1.0" encoding="utf-8"?>
<sst xmlns="http://schemas.openxmlformats.org/spreadsheetml/2006/main" count="34" uniqueCount="30">
  <si>
    <t>Employee ID</t>
  </si>
  <si>
    <t>Employee Name</t>
  </si>
  <si>
    <t>Business Unit</t>
  </si>
  <si>
    <t>Location</t>
  </si>
  <si>
    <t>Manager / Approver Name</t>
  </si>
  <si>
    <t>Contact Number</t>
  </si>
  <si>
    <t>Total Hours worked</t>
  </si>
  <si>
    <t>Total Leave Days</t>
  </si>
  <si>
    <t>Date</t>
  </si>
  <si>
    <t>Day</t>
  </si>
  <si>
    <t>Hours Worked</t>
  </si>
  <si>
    <t>Remarks</t>
  </si>
  <si>
    <t>Total</t>
  </si>
  <si>
    <t xml:space="preserve"> ================================  Legend  ================================ </t>
  </si>
  <si>
    <r>
      <rPr>
        <b/>
        <sz val="9"/>
        <color theme="1"/>
        <rFont val="Univers"/>
        <family val="2"/>
      </rPr>
      <t xml:space="preserve">8 / 9 Hrs.  </t>
    </r>
    <r>
      <rPr>
        <sz val="9"/>
        <color theme="1"/>
        <rFont val="Univers"/>
        <family val="2"/>
      </rPr>
      <t xml:space="preserve">: Working Hours </t>
    </r>
  </si>
  <si>
    <r>
      <rPr>
        <b/>
        <sz val="9"/>
        <color theme="1"/>
        <rFont val="Univers"/>
        <family val="2"/>
      </rPr>
      <t>4 / 4.5 Hrs</t>
    </r>
    <r>
      <rPr>
        <sz val="9"/>
        <color theme="1"/>
        <rFont val="Univers"/>
        <family val="2"/>
      </rPr>
      <t xml:space="preserve"> : Half Day working</t>
    </r>
  </si>
  <si>
    <r>
      <rPr>
        <b/>
        <sz val="9"/>
        <color theme="1"/>
        <rFont val="Univers"/>
        <family val="2"/>
      </rPr>
      <t>L</t>
    </r>
    <r>
      <rPr>
        <sz val="9"/>
        <color theme="1"/>
        <rFont val="Univers"/>
        <family val="2"/>
      </rPr>
      <t xml:space="preserve"> : Leave</t>
    </r>
  </si>
  <si>
    <r>
      <rPr>
        <b/>
        <sz val="9"/>
        <color theme="1"/>
        <rFont val="Univers"/>
        <family val="2"/>
      </rPr>
      <t>PH</t>
    </r>
    <r>
      <rPr>
        <sz val="9"/>
        <color theme="1"/>
        <rFont val="Univers"/>
        <family val="2"/>
      </rPr>
      <t>: Public Holiday</t>
    </r>
  </si>
  <si>
    <r>
      <rPr>
        <b/>
        <sz val="9"/>
        <color theme="1"/>
        <rFont val="Univers"/>
        <family val="2"/>
      </rPr>
      <t>WO</t>
    </r>
    <r>
      <rPr>
        <sz val="9"/>
        <color theme="1"/>
        <rFont val="Univers"/>
        <family val="2"/>
      </rPr>
      <t xml:space="preserve"> : Week Off</t>
    </r>
  </si>
  <si>
    <r>
      <rPr>
        <b/>
        <sz val="9"/>
        <color theme="1"/>
        <rFont val="Univers"/>
        <family val="2"/>
      </rPr>
      <t>CO</t>
    </r>
    <r>
      <rPr>
        <sz val="9"/>
        <color theme="1"/>
        <rFont val="Univers"/>
        <family val="2"/>
      </rPr>
      <t xml:space="preserve"> : Comp Off</t>
    </r>
  </si>
  <si>
    <r>
      <t xml:space="preserve"> ==</t>
    </r>
    <r>
      <rPr>
        <b/>
        <sz val="9"/>
        <color theme="1"/>
        <rFont val="Univers"/>
        <family val="2"/>
      </rPr>
      <t>Legend</t>
    </r>
    <r>
      <rPr>
        <sz val="9"/>
        <color theme="1"/>
        <rFont val="Univers"/>
        <family val="2"/>
      </rPr>
      <t>==</t>
    </r>
  </si>
  <si>
    <t>Working Hours</t>
  </si>
  <si>
    <t>Leave</t>
  </si>
  <si>
    <t>L</t>
  </si>
  <si>
    <t>Public Holiday</t>
  </si>
  <si>
    <t>PH</t>
  </si>
  <si>
    <t>Week Off</t>
  </si>
  <si>
    <t>WO</t>
  </si>
  <si>
    <t>Comp Off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</si>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</sst>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&quot; Hrs&quot;;;"/>
    <numFmt numFmtId="165" formatCode="General&quot; Hours&quot;;;"/>
    <numFmt numFmtId="166" formatCode="dd\-mmm\-yyyy"/>
    <numFmt numFmtId="167" formatCode="General;;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Univers"/>
      <family val="2"/>
    </font>
    <font>
      <b/>
      <sz val="9"/>
      <color theme="1"/>
      <name val="Univers"/>
      <family val="2"/>
    </font>
    <font>
      <b/>
      <sz val="10"/>
      <color rgb="FFFF0000"/>
      <name val="Univers"/>
      <family val="2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b/>
      <u/>
      <sz val="24"/>
      <color theme="1"/>
      <name val="Times New Roman"/>
      <family val="1"/>
    </font>
    <font>
      <b/>
      <sz val="8"/>
      <color rgb="FF990099"/>
      <name val="Trebuchet MS"/>
      <family val="2"/>
    </font>
    <font>
      <b/>
      <sz val="8"/>
      <color rgb="FF990099"/>
      <name val="Segoe UI"/>
      <family val="2"/>
    </font>
    <font>
      <b/>
      <u/>
      <sz val="20"/>
      <color theme="9"/>
      <name val="Agency FB"/>
      <family val="2"/>
    </font>
    <font>
      <b/>
      <sz val="8"/>
      <name val="Trebuchet MS"/>
      <family val="2"/>
    </font>
    <font>
      <b/>
      <sz val="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theme="9"/>
      </left>
      <right/>
      <top style="double">
        <color theme="9"/>
      </top>
      <bottom/>
      <diagonal/>
    </border>
    <border>
      <left/>
      <right/>
      <top style="double">
        <color theme="9"/>
      </top>
      <bottom/>
      <diagonal/>
    </border>
    <border>
      <left/>
      <right style="double">
        <color theme="9"/>
      </right>
      <top style="double">
        <color theme="9"/>
      </top>
      <bottom/>
      <diagonal/>
    </border>
    <border>
      <left style="double">
        <color theme="9"/>
      </left>
      <right/>
      <top/>
      <bottom/>
      <diagonal/>
    </border>
    <border>
      <left/>
      <right style="double">
        <color theme="9"/>
      </right>
      <top/>
      <bottom/>
      <diagonal/>
    </border>
    <border>
      <left style="double">
        <color theme="9"/>
      </left>
      <right/>
      <top/>
      <bottom style="double">
        <color theme="9"/>
      </bottom>
      <diagonal/>
    </border>
    <border>
      <left/>
      <right/>
      <top/>
      <bottom style="double">
        <color theme="9"/>
      </bottom>
      <diagonal/>
    </border>
    <border>
      <left/>
      <right style="double">
        <color theme="9"/>
      </right>
      <top/>
      <bottom style="double">
        <color theme="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indent="1"/>
    </xf>
    <xf numFmtId="0" fontId="6" fillId="0" borderId="0" xfId="0" applyFont="1"/>
    <xf numFmtId="0" fontId="1" fillId="5" borderId="0" xfId="0" applyFont="1" applyFill="1"/>
    <xf numFmtId="0" fontId="4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/>
    </xf>
    <xf numFmtId="0" fontId="6" fillId="5" borderId="0" xfId="0" applyFont="1" applyFill="1"/>
    <xf numFmtId="0" fontId="1" fillId="5" borderId="0" xfId="0" applyFont="1" applyFill="1" applyAlignment="1">
      <alignment vertical="center"/>
    </xf>
    <xf numFmtId="0" fontId="1" fillId="6" borderId="0" xfId="0" applyFont="1" applyFill="1"/>
    <xf numFmtId="0" fontId="4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indent="1"/>
    </xf>
    <xf numFmtId="0" fontId="6" fillId="6" borderId="0" xfId="0" applyFont="1" applyFill="1"/>
    <xf numFmtId="0" fontId="1" fillId="6" borderId="0" xfId="0" applyFont="1" applyFill="1" applyAlignment="1">
      <alignment vertical="center"/>
    </xf>
    <xf numFmtId="0" fontId="10" fillId="0" borderId="9" xfId="0" applyFont="1" applyBorder="1" applyAlignment="1" applyProtection="1">
      <alignment horizontal="left" vertical="center" indent="1"/>
      <protection locked="0"/>
    </xf>
    <xf numFmtId="165" fontId="10" fillId="0" borderId="9" xfId="0" applyNumberFormat="1" applyFont="1" applyBorder="1" applyAlignment="1">
      <alignment horizontal="left" vertical="center" indent="1"/>
    </xf>
    <xf numFmtId="167" fontId="10" fillId="0" borderId="9" xfId="0" applyNumberFormat="1" applyFont="1" applyBorder="1" applyAlignment="1">
      <alignment horizontal="center" vertical="center"/>
    </xf>
    <xf numFmtId="0" fontId="13" fillId="7" borderId="9" xfId="0" applyFont="1" applyFill="1" applyBorder="1" applyAlignment="1">
      <alignment horizontal="left" vertical="center" indent="1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3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horizontal="left" indent="1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4" borderId="13" xfId="0" applyFont="1" applyFill="1" applyBorder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16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1" fontId="14" fillId="8" borderId="18" xfId="0" applyNumberFormat="1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center" vertical="center"/>
    </xf>
    <xf numFmtId="166" fontId="8" fillId="0" borderId="18" xfId="0" applyNumberFormat="1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>
      <alignment horizontal="center" vertical="center"/>
    </xf>
    <xf numFmtId="164" fontId="6" fillId="0" borderId="18" xfId="0" applyNumberFormat="1" applyFont="1" applyBorder="1" applyAlignment="1" applyProtection="1">
      <alignment horizontal="center"/>
      <protection locked="0"/>
    </xf>
    <xf numFmtId="0" fontId="8" fillId="0" borderId="18" xfId="0" applyFont="1" applyBorder="1" applyAlignment="1" applyProtection="1">
      <alignment horizontal="left" vertical="center"/>
      <protection locked="0"/>
    </xf>
    <xf numFmtId="166" fontId="8" fillId="0" borderId="18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6" fillId="0" borderId="18" xfId="0" applyFont="1" applyBorder="1" applyProtection="1">
      <protection locked="0"/>
    </xf>
    <xf numFmtId="0" fontId="6" fillId="0" borderId="18" xfId="0" applyFont="1" applyBorder="1" applyAlignment="1" applyProtection="1">
      <alignment horizontal="left" indent="1"/>
      <protection locked="0"/>
    </xf>
    <xf numFmtId="14" fontId="11" fillId="3" borderId="18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165" fontId="11" fillId="3" borderId="18" xfId="0" applyNumberFormat="1" applyFont="1" applyFill="1" applyBorder="1" applyAlignment="1">
      <alignment horizontal="center"/>
    </xf>
    <xf numFmtId="0" fontId="11" fillId="3" borderId="18" xfId="0" applyFont="1" applyFill="1" applyBorder="1"/>
    <xf numFmtId="0" fontId="12" fillId="0" borderId="0" xfId="0" applyFont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color theme="1"/>
      </font>
      <fill>
        <patternFill>
          <bgColor rgb="FFFFE57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 val="0"/>
        <i val="0"/>
        <color rgb="FFFF0000"/>
      </font>
      <fill>
        <patternFill>
          <bgColor rgb="FFFFF1EF"/>
        </patternFill>
      </fill>
    </dxf>
    <dxf>
      <font>
        <b val="0"/>
        <i val="0"/>
        <color rgb="FFFF0000"/>
      </font>
      <fill>
        <patternFill>
          <bgColor rgb="FFFFF1EF"/>
        </patternFill>
      </fill>
    </dxf>
  </dxfs>
  <tableStyles count="0" defaultTableStyle="TableStyleMedium2" defaultPivotStyle="PivotStyleMedium9"/>
  <colors>
    <mruColors>
      <color rgb="FFFFF1EF"/>
      <color rgb="FFF5F9F6"/>
      <color rgb="FFFFEFEF"/>
      <color rgb="FFFFFFE7"/>
      <color rgb="FFFFFFFF"/>
      <color rgb="FFFFE3F1"/>
      <color rgb="FF990099"/>
      <color rgb="FF005B60"/>
      <color rgb="FFB7FFDD"/>
      <color rgb="FFCF9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2</xdr:row>
      <xdr:rowOff>57151</xdr:rowOff>
    </xdr:from>
    <xdr:to>
      <xdr:col>5</xdr:col>
      <xdr:colOff>1038225</xdr:colOff>
      <xdr:row>4</xdr:row>
      <xdr:rowOff>156199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19244-13B2-DF60-02D1-3696EF73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6025" y="342901"/>
          <a:ext cx="2105025" cy="480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showGridLines="0" tabSelected="1" workbookViewId="0">
      <selection activeCell="D6" sqref="D6:G7"/>
    </sheetView>
  </sheetViews>
  <sheetFormatPr defaultColWidth="10.7265625" defaultRowHeight="15" customHeight="1" x14ac:dyDescent="0.3"/>
  <cols>
    <col min="1" max="1" width="3.453125" style="11" customWidth="1"/>
    <col min="2" max="2" width="0.7265625" style="1" customWidth="1"/>
    <col min="3" max="3" width="3.453125" style="1" customWidth="1"/>
    <col min="4" max="4" width="22.81640625" style="2" customWidth="1"/>
    <col min="5" max="6" width="22.81640625" style="1" customWidth="1"/>
    <col min="7" max="7" width="24.453125" style="1" customWidth="1"/>
    <col min="8" max="8" width="3.453125" style="1" customWidth="1"/>
    <col min="9" max="9" width="0.81640625" style="1" customWidth="1"/>
    <col min="10" max="16384" width="10.7265625" style="17"/>
  </cols>
  <sheetData>
    <row r="1" spans="1:9" ht="7.9" customHeight="1" thickBot="1" x14ac:dyDescent="0.35"/>
    <row r="2" spans="1:9" ht="15" customHeight="1" thickTop="1" thickBot="1" x14ac:dyDescent="0.35">
      <c r="C2" s="28"/>
      <c r="D2" s="29"/>
      <c r="E2" s="30"/>
      <c r="F2" s="30"/>
      <c r="G2" s="30"/>
      <c r="H2" s="31"/>
    </row>
    <row r="3" spans="1:9" ht="15" customHeight="1" x14ac:dyDescent="0.3">
      <c r="C3" s="32"/>
      <c r="D3" s="77"/>
      <c r="E3" s="78"/>
      <c r="F3" s="78"/>
      <c r="G3" s="79"/>
      <c r="H3" s="33"/>
    </row>
    <row r="4" spans="1:9" ht="15" customHeight="1" x14ac:dyDescent="0.3">
      <c r="C4" s="32"/>
      <c r="D4" s="80"/>
      <c r="E4" s="81"/>
      <c r="F4" s="81"/>
      <c r="G4" s="82"/>
      <c r="H4" s="33"/>
    </row>
    <row r="5" spans="1:9" ht="15" customHeight="1" thickBot="1" x14ac:dyDescent="0.35">
      <c r="C5" s="32"/>
      <c r="D5" s="83"/>
      <c r="E5" s="84"/>
      <c r="F5" s="84"/>
      <c r="G5" s="85"/>
      <c r="H5" s="33"/>
    </row>
    <row r="6" spans="1:9" ht="15" customHeight="1" x14ac:dyDescent="0.3">
      <c r="C6" s="32"/>
      <c r="D6" s="73" t="str">
        <f>"TIMESHEET FOR THE MONTH OF - "&amp;UPPER(TEXT($D$14,"MMMM-YYYY"))</f>
        <v>TIMESHEET FOR THE MONTH OF - OCTOBER-2026</v>
      </c>
      <c r="E6" s="73"/>
      <c r="F6" s="73"/>
      <c r="G6" s="73"/>
      <c r="H6" s="33"/>
    </row>
    <row r="7" spans="1:9" ht="15" customHeight="1" thickBot="1" x14ac:dyDescent="0.35">
      <c r="C7" s="32"/>
      <c r="D7" s="73"/>
      <c r="E7" s="73"/>
      <c r="F7" s="73"/>
      <c r="G7" s="73"/>
      <c r="H7" s="33"/>
    </row>
    <row r="8" spans="1:9" s="18" customFormat="1" ht="15" customHeight="1" thickTop="1" thickBot="1" x14ac:dyDescent="0.4">
      <c r="A8" s="12"/>
      <c r="B8" s="6"/>
      <c r="C8" s="34"/>
      <c r="D8" s="27" t="s">
        <v>0</v>
      </c>
      <c r="E8" s="24"/>
      <c r="F8" s="27" t="s">
        <v>1</v>
      </c>
      <c r="G8" s="24"/>
      <c r="H8" s="35"/>
      <c r="I8" s="6"/>
    </row>
    <row r="9" spans="1:9" s="18" customFormat="1" ht="15" customHeight="1" thickTop="1" thickBot="1" x14ac:dyDescent="0.4">
      <c r="A9" s="12"/>
      <c r="B9" s="6"/>
      <c r="C9" s="34"/>
      <c r="D9" s="27" t="s">
        <v>2</v>
      </c>
      <c r="E9" s="24"/>
      <c r="F9" s="27" t="s">
        <v>3</v>
      </c>
      <c r="G9" s="24"/>
      <c r="H9" s="35"/>
      <c r="I9" s="6"/>
    </row>
    <row r="10" spans="1:9" s="18" customFormat="1" ht="15" customHeight="1" thickTop="1" thickBot="1" x14ac:dyDescent="0.4">
      <c r="A10" s="12"/>
      <c r="B10" s="6"/>
      <c r="C10" s="34"/>
      <c r="D10" s="27" t="s">
        <v>4</v>
      </c>
      <c r="E10" s="24"/>
      <c r="F10" s="27" t="s">
        <v>5</v>
      </c>
      <c r="G10" s="24"/>
      <c r="H10" s="35"/>
      <c r="I10" s="6"/>
    </row>
    <row r="11" spans="1:9" s="18" customFormat="1" ht="15" customHeight="1" thickTop="1" thickBot="1" x14ac:dyDescent="0.4">
      <c r="A11" s="12"/>
      <c r="B11" s="6"/>
      <c r="C11" s="34"/>
      <c r="D11" s="27" t="s">
        <v>6</v>
      </c>
      <c r="E11" s="25">
        <f>+F45</f>
        <v>0</v>
      </c>
      <c r="F11" s="27" t="s">
        <v>7</v>
      </c>
      <c r="G11" s="26">
        <f>COUNTIF($F$14:$F$44,"L")+(COUNTIF($F$14:$F$44,"4.5")/2)+(COUNTIF($F$14:$F$44,"4")/2)</f>
        <v>0</v>
      </c>
      <c r="H11" s="35"/>
      <c r="I11" s="6"/>
    </row>
    <row r="12" spans="1:9" s="18" customFormat="1" ht="3.65" customHeight="1" thickTop="1" x14ac:dyDescent="0.35">
      <c r="A12" s="12"/>
      <c r="B12" s="6"/>
      <c r="C12" s="34"/>
      <c r="D12" s="36"/>
      <c r="E12" s="37"/>
      <c r="F12" s="37"/>
      <c r="G12" s="37"/>
      <c r="H12" s="35"/>
      <c r="I12" s="6"/>
    </row>
    <row r="13" spans="1:9" s="19" customFormat="1" ht="15" customHeight="1" x14ac:dyDescent="0.35">
      <c r="A13" s="13"/>
      <c r="B13" s="7"/>
      <c r="C13" s="38"/>
      <c r="D13" s="58" t="s">
        <v>8</v>
      </c>
      <c r="E13" s="58" t="s">
        <v>9</v>
      </c>
      <c r="F13" s="59" t="s">
        <v>10</v>
      </c>
      <c r="G13" s="59" t="s">
        <v>11</v>
      </c>
      <c r="H13" s="39"/>
      <c r="I13" s="7"/>
    </row>
    <row r="14" spans="1:9" s="20" customFormat="1" ht="13.9" customHeight="1" x14ac:dyDescent="0.3">
      <c r="A14" s="14"/>
      <c r="B14" s="8"/>
      <c r="C14" s="40"/>
      <c r="D14" s="60">
        <v>46296</v>
      </c>
      <c r="E14" s="61" t="str">
        <f>TEXT(D14,"DDDD")</f>
        <v>Thursday</v>
      </c>
      <c r="F14" s="62"/>
      <c r="G14" s="63"/>
      <c r="H14" s="41"/>
      <c r="I14" s="8"/>
    </row>
    <row r="15" spans="1:9" s="20" customFormat="1" ht="13.9" customHeight="1" x14ac:dyDescent="0.35">
      <c r="A15" s="14"/>
      <c r="B15" s="8"/>
      <c r="C15" s="40"/>
      <c r="D15" s="64">
        <f>+D14+1</f>
        <v>46297</v>
      </c>
      <c r="E15" s="61" t="str">
        <f>TEXT(D15,"DDDD")</f>
        <v>Friday</v>
      </c>
      <c r="F15" s="65"/>
      <c r="G15" s="63"/>
      <c r="H15" s="41"/>
      <c r="I15" s="8"/>
    </row>
    <row r="16" spans="1:9" s="19" customFormat="1" ht="13.9" customHeight="1" x14ac:dyDescent="0.35">
      <c r="A16" s="13"/>
      <c r="B16" s="7"/>
      <c r="C16" s="38"/>
      <c r="D16" s="64">
        <f t="shared" ref="D16:D34" si="0">+D15+1</f>
        <v>46298</v>
      </c>
      <c r="E16" s="61" t="str">
        <f t="shared" ref="E16:E43" si="1">TEXT(D16,"DDDD")</f>
        <v>Saturday</v>
      </c>
      <c r="F16" s="65"/>
      <c r="G16" s="66"/>
      <c r="H16" s="42"/>
      <c r="I16" s="7"/>
    </row>
    <row r="17" spans="1:16" s="22" customFormat="1" ht="13.9" customHeight="1" x14ac:dyDescent="0.3">
      <c r="A17" s="15"/>
      <c r="B17" s="10"/>
      <c r="C17" s="43"/>
      <c r="D17" s="64">
        <f t="shared" si="0"/>
        <v>46299</v>
      </c>
      <c r="E17" s="61" t="str">
        <f t="shared" si="1"/>
        <v>Sunday</v>
      </c>
      <c r="F17" s="65"/>
      <c r="G17" s="67"/>
      <c r="H17" s="44"/>
      <c r="I17" s="9"/>
      <c r="J17" s="21"/>
      <c r="K17" s="21"/>
      <c r="L17" s="21"/>
      <c r="M17" s="21"/>
      <c r="N17" s="21"/>
      <c r="O17" s="21"/>
      <c r="P17" s="21"/>
    </row>
    <row r="18" spans="1:16" s="22" customFormat="1" ht="13.9" customHeight="1" x14ac:dyDescent="0.3">
      <c r="A18" s="15"/>
      <c r="B18" s="10"/>
      <c r="C18" s="43"/>
      <c r="D18" s="64">
        <f t="shared" si="0"/>
        <v>46300</v>
      </c>
      <c r="E18" s="61" t="str">
        <f t="shared" si="1"/>
        <v>Monday</v>
      </c>
      <c r="F18" s="65"/>
      <c r="G18" s="68"/>
      <c r="H18" s="45"/>
      <c r="I18" s="9"/>
      <c r="J18" s="21"/>
      <c r="K18" s="21"/>
    </row>
    <row r="19" spans="1:16" s="22" customFormat="1" ht="13.9" customHeight="1" x14ac:dyDescent="0.3">
      <c r="A19" s="15"/>
      <c r="B19" s="10"/>
      <c r="C19" s="43"/>
      <c r="D19" s="64">
        <f t="shared" si="0"/>
        <v>46301</v>
      </c>
      <c r="E19" s="61" t="str">
        <f t="shared" si="1"/>
        <v>Tuesday</v>
      </c>
      <c r="F19" s="65"/>
      <c r="G19" s="68"/>
      <c r="H19" s="45"/>
      <c r="I19" s="9"/>
      <c r="J19" s="21"/>
      <c r="K19" s="21"/>
    </row>
    <row r="20" spans="1:16" s="22" customFormat="1" ht="13.9" customHeight="1" x14ac:dyDescent="0.3">
      <c r="A20" s="15"/>
      <c r="B20" s="10"/>
      <c r="C20" s="43"/>
      <c r="D20" s="64">
        <f t="shared" si="0"/>
        <v>46302</v>
      </c>
      <c r="E20" s="61" t="str">
        <f t="shared" si="1"/>
        <v>Wednesday</v>
      </c>
      <c r="F20" s="65"/>
      <c r="G20" s="68"/>
      <c r="H20" s="45"/>
      <c r="I20" s="9"/>
      <c r="J20" s="21"/>
      <c r="K20" s="21"/>
    </row>
    <row r="21" spans="1:16" s="22" customFormat="1" ht="13.9" customHeight="1" x14ac:dyDescent="0.3">
      <c r="A21" s="15"/>
      <c r="B21" s="10"/>
      <c r="C21" s="43"/>
      <c r="D21" s="64">
        <f t="shared" si="0"/>
        <v>46303</v>
      </c>
      <c r="E21" s="61" t="str">
        <f t="shared" si="1"/>
        <v>Thursday</v>
      </c>
      <c r="F21" s="65"/>
      <c r="G21" s="68"/>
      <c r="H21" s="45"/>
      <c r="I21" s="9"/>
      <c r="J21" s="21"/>
      <c r="K21" s="21"/>
    </row>
    <row r="22" spans="1:16" s="22" customFormat="1" ht="13.9" customHeight="1" x14ac:dyDescent="0.3">
      <c r="A22" s="15"/>
      <c r="B22" s="10"/>
      <c r="C22" s="43"/>
      <c r="D22" s="64">
        <f t="shared" si="0"/>
        <v>46304</v>
      </c>
      <c r="E22" s="61" t="str">
        <f t="shared" si="1"/>
        <v>Friday</v>
      </c>
      <c r="F22" s="65"/>
      <c r="G22" s="68"/>
      <c r="H22" s="45"/>
      <c r="I22" s="9"/>
      <c r="J22" s="21"/>
      <c r="K22" s="21"/>
    </row>
    <row r="23" spans="1:16" s="22" customFormat="1" ht="13.9" customHeight="1" x14ac:dyDescent="0.3">
      <c r="A23" s="15"/>
      <c r="B23" s="10"/>
      <c r="C23" s="43"/>
      <c r="D23" s="64">
        <f t="shared" si="0"/>
        <v>46305</v>
      </c>
      <c r="E23" s="61" t="str">
        <f t="shared" si="1"/>
        <v>Saturday</v>
      </c>
      <c r="F23" s="65"/>
      <c r="G23" s="68"/>
      <c r="H23" s="45"/>
      <c r="I23" s="9"/>
      <c r="J23" s="21"/>
      <c r="K23" s="21"/>
    </row>
    <row r="24" spans="1:16" s="22" customFormat="1" ht="13.9" customHeight="1" x14ac:dyDescent="0.3">
      <c r="A24" s="15"/>
      <c r="B24" s="10"/>
      <c r="C24" s="43"/>
      <c r="D24" s="64">
        <f t="shared" si="0"/>
        <v>46306</v>
      </c>
      <c r="E24" s="61" t="str">
        <f t="shared" si="1"/>
        <v>Sunday</v>
      </c>
      <c r="F24" s="65"/>
      <c r="G24" s="68"/>
      <c r="H24" s="45"/>
      <c r="I24" s="9"/>
      <c r="J24" s="21"/>
      <c r="K24" s="21"/>
    </row>
    <row r="25" spans="1:16" s="22" customFormat="1" ht="13.9" customHeight="1" x14ac:dyDescent="0.3">
      <c r="A25" s="15"/>
      <c r="B25" s="10"/>
      <c r="C25" s="43"/>
      <c r="D25" s="64">
        <f t="shared" si="0"/>
        <v>46307</v>
      </c>
      <c r="E25" s="61" t="str">
        <f t="shared" si="1"/>
        <v>Monday</v>
      </c>
      <c r="F25" s="65"/>
      <c r="G25" s="68"/>
      <c r="H25" s="45"/>
      <c r="I25" s="9"/>
      <c r="J25" s="21"/>
      <c r="K25" s="21"/>
    </row>
    <row r="26" spans="1:16" s="22" customFormat="1" ht="13.9" customHeight="1" x14ac:dyDescent="0.3">
      <c r="A26" s="15"/>
      <c r="B26" s="10"/>
      <c r="C26" s="43"/>
      <c r="D26" s="64">
        <f t="shared" si="0"/>
        <v>46308</v>
      </c>
      <c r="E26" s="61" t="str">
        <f t="shared" si="1"/>
        <v>Tuesday</v>
      </c>
      <c r="F26" s="65"/>
      <c r="G26" s="68"/>
      <c r="H26" s="45"/>
      <c r="I26" s="9"/>
      <c r="J26" s="21"/>
      <c r="K26" s="21"/>
    </row>
    <row r="27" spans="1:16" s="22" customFormat="1" ht="13.9" customHeight="1" x14ac:dyDescent="0.3">
      <c r="A27" s="15"/>
      <c r="B27" s="10"/>
      <c r="C27" s="43"/>
      <c r="D27" s="64">
        <f t="shared" si="0"/>
        <v>46309</v>
      </c>
      <c r="E27" s="61" t="str">
        <f t="shared" si="1"/>
        <v>Wednesday</v>
      </c>
      <c r="F27" s="65"/>
      <c r="G27" s="67"/>
      <c r="H27" s="44"/>
      <c r="I27" s="9"/>
      <c r="J27" s="21"/>
      <c r="K27" s="21"/>
    </row>
    <row r="28" spans="1:16" s="22" customFormat="1" ht="13.9" customHeight="1" x14ac:dyDescent="0.3">
      <c r="A28" s="15"/>
      <c r="B28" s="10"/>
      <c r="C28" s="43"/>
      <c r="D28" s="64">
        <f t="shared" si="0"/>
        <v>46310</v>
      </c>
      <c r="E28" s="61" t="str">
        <f t="shared" si="1"/>
        <v>Thursday</v>
      </c>
      <c r="F28" s="65"/>
      <c r="G28" s="67"/>
      <c r="H28" s="44"/>
      <c r="I28" s="9"/>
      <c r="J28" s="21"/>
      <c r="K28" s="21"/>
    </row>
    <row r="29" spans="1:16" s="22" customFormat="1" ht="13.9" customHeight="1" x14ac:dyDescent="0.3">
      <c r="A29" s="15"/>
      <c r="B29" s="10"/>
      <c r="C29" s="43"/>
      <c r="D29" s="64">
        <f t="shared" si="0"/>
        <v>46311</v>
      </c>
      <c r="E29" s="61" t="str">
        <f t="shared" si="1"/>
        <v>Friday</v>
      </c>
      <c r="F29" s="65"/>
      <c r="G29" s="67"/>
      <c r="H29" s="44"/>
      <c r="I29" s="9"/>
      <c r="J29" s="21"/>
      <c r="K29" s="21"/>
    </row>
    <row r="30" spans="1:16" s="22" customFormat="1" ht="13.9" customHeight="1" x14ac:dyDescent="0.3">
      <c r="A30" s="15"/>
      <c r="B30" s="10"/>
      <c r="C30" s="43"/>
      <c r="D30" s="64">
        <f t="shared" si="0"/>
        <v>46312</v>
      </c>
      <c r="E30" s="61" t="str">
        <f t="shared" si="1"/>
        <v>Saturday</v>
      </c>
      <c r="F30" s="65"/>
      <c r="G30" s="67"/>
      <c r="H30" s="44"/>
      <c r="I30" s="10"/>
    </row>
    <row r="31" spans="1:16" s="22" customFormat="1" ht="13.9" customHeight="1" x14ac:dyDescent="0.3">
      <c r="A31" s="15"/>
      <c r="B31" s="10"/>
      <c r="C31" s="43"/>
      <c r="D31" s="64">
        <f t="shared" si="0"/>
        <v>46313</v>
      </c>
      <c r="E31" s="61" t="str">
        <f t="shared" si="1"/>
        <v>Sunday</v>
      </c>
      <c r="F31" s="65"/>
      <c r="G31" s="67"/>
      <c r="H31" s="44"/>
      <c r="I31" s="10"/>
    </row>
    <row r="32" spans="1:16" s="22" customFormat="1" ht="13.9" customHeight="1" x14ac:dyDescent="0.3">
      <c r="A32" s="15"/>
      <c r="B32" s="10"/>
      <c r="C32" s="43"/>
      <c r="D32" s="64">
        <f t="shared" si="0"/>
        <v>46314</v>
      </c>
      <c r="E32" s="61" t="str">
        <f t="shared" si="1"/>
        <v>Monday</v>
      </c>
      <c r="F32" s="65"/>
      <c r="G32" s="67"/>
      <c r="H32" s="44"/>
      <c r="I32" s="10"/>
    </row>
    <row r="33" spans="1:9" s="22" customFormat="1" ht="13.9" customHeight="1" x14ac:dyDescent="0.3">
      <c r="A33" s="15"/>
      <c r="B33" s="10"/>
      <c r="C33" s="43"/>
      <c r="D33" s="64">
        <f t="shared" si="0"/>
        <v>46315</v>
      </c>
      <c r="E33" s="61" t="str">
        <f t="shared" si="1"/>
        <v>Tuesday</v>
      </c>
      <c r="F33" s="65"/>
      <c r="G33" s="67"/>
      <c r="H33" s="44"/>
      <c r="I33" s="10"/>
    </row>
    <row r="34" spans="1:9" s="22" customFormat="1" ht="13.9" customHeight="1" x14ac:dyDescent="0.3">
      <c r="A34" s="15"/>
      <c r="B34" s="10"/>
      <c r="C34" s="43"/>
      <c r="D34" s="64">
        <f t="shared" si="0"/>
        <v>46316</v>
      </c>
      <c r="E34" s="61" t="str">
        <f t="shared" si="1"/>
        <v>Wednesday</v>
      </c>
      <c r="F34" s="65"/>
      <c r="G34" s="67"/>
      <c r="H34" s="44"/>
      <c r="I34" s="10"/>
    </row>
    <row r="35" spans="1:9" s="22" customFormat="1" ht="13.9" customHeight="1" x14ac:dyDescent="0.3">
      <c r="A35" s="15"/>
      <c r="B35" s="10"/>
      <c r="C35" s="43"/>
      <c r="D35" s="64">
        <f t="shared" ref="D35:D41" si="2">+D34+1</f>
        <v>46317</v>
      </c>
      <c r="E35" s="61" t="str">
        <f t="shared" si="1"/>
        <v>Thursday</v>
      </c>
      <c r="F35" s="65"/>
      <c r="G35" s="67"/>
      <c r="H35" s="44"/>
      <c r="I35" s="10"/>
    </row>
    <row r="36" spans="1:9" s="22" customFormat="1" ht="13.9" customHeight="1" x14ac:dyDescent="0.3">
      <c r="A36" s="15"/>
      <c r="B36" s="10"/>
      <c r="C36" s="43"/>
      <c r="D36" s="64">
        <f t="shared" si="2"/>
        <v>46318</v>
      </c>
      <c r="E36" s="61" t="str">
        <f t="shared" si="1"/>
        <v>Friday</v>
      </c>
      <c r="F36" s="65"/>
      <c r="G36" s="67"/>
      <c r="H36" s="44"/>
      <c r="I36" s="10"/>
    </row>
    <row r="37" spans="1:9" s="22" customFormat="1" ht="13.9" customHeight="1" x14ac:dyDescent="0.3">
      <c r="A37" s="15"/>
      <c r="B37" s="10"/>
      <c r="C37" s="43"/>
      <c r="D37" s="64">
        <f t="shared" si="2"/>
        <v>46319</v>
      </c>
      <c r="E37" s="61" t="str">
        <f t="shared" si="1"/>
        <v>Saturday</v>
      </c>
      <c r="F37" s="65"/>
      <c r="G37" s="68"/>
      <c r="H37" s="44"/>
      <c r="I37" s="10"/>
    </row>
    <row r="38" spans="1:9" s="22" customFormat="1" ht="13.9" customHeight="1" x14ac:dyDescent="0.3">
      <c r="A38" s="15"/>
      <c r="B38" s="10"/>
      <c r="C38" s="43"/>
      <c r="D38" s="64">
        <f t="shared" si="2"/>
        <v>46320</v>
      </c>
      <c r="E38" s="61" t="str">
        <f t="shared" si="1"/>
        <v>Sunday</v>
      </c>
      <c r="F38" s="65"/>
      <c r="G38" s="67"/>
      <c r="H38" s="44"/>
      <c r="I38" s="10"/>
    </row>
    <row r="39" spans="1:9" s="22" customFormat="1" ht="13.9" customHeight="1" x14ac:dyDescent="0.3">
      <c r="A39" s="15"/>
      <c r="B39" s="10"/>
      <c r="C39" s="43"/>
      <c r="D39" s="64">
        <f t="shared" si="2"/>
        <v>46321</v>
      </c>
      <c r="E39" s="61" t="str">
        <f t="shared" si="1"/>
        <v>Monday</v>
      </c>
      <c r="F39" s="65"/>
      <c r="G39" s="67"/>
      <c r="H39" s="44"/>
      <c r="I39" s="10"/>
    </row>
    <row r="40" spans="1:9" s="22" customFormat="1" ht="13.9" customHeight="1" x14ac:dyDescent="0.3">
      <c r="A40" s="15"/>
      <c r="B40" s="10"/>
      <c r="C40" s="43"/>
      <c r="D40" s="64">
        <f t="shared" si="2"/>
        <v>46322</v>
      </c>
      <c r="E40" s="61" t="str">
        <f t="shared" si="1"/>
        <v>Tuesday</v>
      </c>
      <c r="F40" s="65"/>
      <c r="G40" s="67"/>
      <c r="H40" s="44"/>
      <c r="I40" s="10"/>
    </row>
    <row r="41" spans="1:9" s="22" customFormat="1" ht="13.9" customHeight="1" x14ac:dyDescent="0.3">
      <c r="A41" s="15"/>
      <c r="B41" s="10"/>
      <c r="C41" s="43"/>
      <c r="D41" s="64">
        <f t="shared" si="2"/>
        <v>46323</v>
      </c>
      <c r="E41" s="61" t="str">
        <f t="shared" si="1"/>
        <v>Wednesday</v>
      </c>
      <c r="F41" s="65"/>
      <c r="G41" s="67"/>
      <c r="H41" s="44"/>
      <c r="I41" s="10"/>
    </row>
    <row r="42" spans="1:9" s="22" customFormat="1" ht="13.9" customHeight="1" x14ac:dyDescent="0.3">
      <c r="A42" s="15"/>
      <c r="B42" s="10"/>
      <c r="C42" s="43"/>
      <c r="D42" s="64">
        <f>IF(DAY(D41+1)&lt;=3,"",(D41+1))</f>
        <v>46324</v>
      </c>
      <c r="E42" s="61" t="str">
        <f t="shared" si="1"/>
        <v>Thursday</v>
      </c>
      <c r="F42" s="65"/>
      <c r="G42" s="67"/>
      <c r="H42" s="44"/>
      <c r="I42" s="10"/>
    </row>
    <row r="43" spans="1:9" s="22" customFormat="1" ht="13.9" customHeight="1" x14ac:dyDescent="0.3">
      <c r="A43" s="15"/>
      <c r="B43" s="10"/>
      <c r="C43" s="43"/>
      <c r="D43" s="64">
        <f>IF(DAY(D41+2)&lt;=3,"",(D41+2))</f>
        <v>46325</v>
      </c>
      <c r="E43" s="61" t="str">
        <f t="shared" si="1"/>
        <v>Friday</v>
      </c>
      <c r="F43" s="65"/>
      <c r="G43" s="67"/>
      <c r="H43" s="44"/>
      <c r="I43" s="10"/>
    </row>
    <row r="44" spans="1:9" s="22" customFormat="1" ht="13.9" customHeight="1" x14ac:dyDescent="0.3">
      <c r="A44" s="15"/>
      <c r="B44" s="10"/>
      <c r="C44" s="43"/>
      <c r="D44" s="64">
        <f>IF(DAY(D41+3)&lt;=3,"",(D41+3))</f>
        <v>46326</v>
      </c>
      <c r="E44" s="61" t="str">
        <f t="shared" ref="E44" si="3">TEXT(D44,"DDDD")</f>
        <v>Saturday</v>
      </c>
      <c r="F44" s="65"/>
      <c r="G44" s="67"/>
      <c r="H44" s="44"/>
      <c r="I44" s="10"/>
    </row>
    <row r="45" spans="1:9" s="22" customFormat="1" ht="13.9" customHeight="1" x14ac:dyDescent="0.3">
      <c r="A45" s="15"/>
      <c r="B45" s="10"/>
      <c r="C45" s="43"/>
      <c r="D45" s="69"/>
      <c r="E45" s="70" t="s">
        <v>12</v>
      </c>
      <c r="F45" s="71">
        <f>SUM(F14:F44)</f>
        <v>0</v>
      </c>
      <c r="G45" s="72"/>
      <c r="H45" s="44"/>
      <c r="I45" s="10"/>
    </row>
    <row r="46" spans="1:9" ht="15" customHeight="1" x14ac:dyDescent="0.3">
      <c r="C46" s="32"/>
      <c r="H46" s="33"/>
    </row>
    <row r="47" spans="1:9" ht="15" customHeight="1" thickBot="1" x14ac:dyDescent="0.35">
      <c r="C47" s="46"/>
      <c r="D47" s="47"/>
      <c r="E47" s="48"/>
      <c r="F47" s="48"/>
      <c r="G47" s="48"/>
      <c r="H47" s="49"/>
    </row>
    <row r="48" spans="1:9" ht="15" customHeight="1" thickTop="1" thickBot="1" x14ac:dyDescent="0.35"/>
    <row r="49" spans="1:9" s="23" customFormat="1" ht="15" customHeight="1" thickTop="1" x14ac:dyDescent="0.35">
      <c r="A49" s="16"/>
      <c r="B49" s="3"/>
      <c r="C49" s="74" t="s">
        <v>13</v>
      </c>
      <c r="D49" s="75"/>
      <c r="E49" s="75"/>
      <c r="F49" s="75"/>
      <c r="G49" s="75"/>
      <c r="H49" s="76"/>
      <c r="I49" s="3"/>
    </row>
    <row r="50" spans="1:9" s="23" customFormat="1" ht="15" customHeight="1" x14ac:dyDescent="0.35">
      <c r="A50" s="16"/>
      <c r="B50" s="3"/>
      <c r="C50" s="50"/>
      <c r="D50" s="51" t="s">
        <v>14</v>
      </c>
      <c r="E50" s="52"/>
      <c r="F50" s="52"/>
      <c r="G50" s="52"/>
      <c r="H50" s="53"/>
      <c r="I50" s="3"/>
    </row>
    <row r="51" spans="1:9" s="23" customFormat="1" ht="15" customHeight="1" x14ac:dyDescent="0.35">
      <c r="A51" s="16"/>
      <c r="B51" s="3"/>
      <c r="C51" s="50"/>
      <c r="D51" s="51" t="s">
        <v>15</v>
      </c>
      <c r="E51" s="52"/>
      <c r="F51" s="52"/>
      <c r="G51" s="52"/>
      <c r="H51" s="53"/>
      <c r="I51" s="3"/>
    </row>
    <row r="52" spans="1:9" s="23" customFormat="1" ht="15" customHeight="1" x14ac:dyDescent="0.35">
      <c r="A52" s="16"/>
      <c r="B52" s="3"/>
      <c r="C52" s="50"/>
      <c r="D52" s="51" t="s">
        <v>16</v>
      </c>
      <c r="E52" s="52"/>
      <c r="F52" s="52"/>
      <c r="G52" s="52"/>
      <c r="H52" s="53"/>
      <c r="I52" s="3"/>
    </row>
    <row r="53" spans="1:9" s="23" customFormat="1" ht="15" customHeight="1" x14ac:dyDescent="0.35">
      <c r="A53" s="16"/>
      <c r="B53" s="3"/>
      <c r="C53" s="50"/>
      <c r="D53" s="51" t="s">
        <v>17</v>
      </c>
      <c r="E53" s="52"/>
      <c r="F53" s="52"/>
      <c r="G53" s="52"/>
      <c r="H53" s="53"/>
      <c r="I53" s="3"/>
    </row>
    <row r="54" spans="1:9" s="23" customFormat="1" ht="15" customHeight="1" x14ac:dyDescent="0.35">
      <c r="A54" s="16"/>
      <c r="B54" s="3"/>
      <c r="C54" s="50"/>
      <c r="D54" s="51" t="s">
        <v>18</v>
      </c>
      <c r="E54" s="52"/>
      <c r="F54" s="52"/>
      <c r="G54" s="52"/>
      <c r="H54" s="53"/>
      <c r="I54" s="3"/>
    </row>
    <row r="55" spans="1:9" s="23" customFormat="1" ht="15" customHeight="1" thickBot="1" x14ac:dyDescent="0.4">
      <c r="A55" s="16"/>
      <c r="B55" s="3"/>
      <c r="C55" s="54"/>
      <c r="D55" s="55" t="s">
        <v>19</v>
      </c>
      <c r="E55" s="56"/>
      <c r="F55" s="56"/>
      <c r="G55" s="56"/>
      <c r="H55" s="57"/>
      <c r="I55" s="3"/>
    </row>
    <row r="56" spans="1:9" ht="15" customHeight="1" thickTop="1" x14ac:dyDescent="0.3"/>
  </sheetData>
  <sheetProtection selectLockedCells="1"/>
  <mergeCells count="3">
    <mergeCell ref="D6:G7"/>
    <mergeCell ref="C49:H49"/>
    <mergeCell ref="D3:G5"/>
  </mergeCells>
  <conditionalFormatting sqref="D14:G44">
    <cfRule type="expression" dxfId="5" priority="9">
      <formula>$E14="Saturday"</formula>
    </cfRule>
    <cfRule type="expression" dxfId="4" priority="10">
      <formula>$E14="Sunday"</formula>
    </cfRule>
  </conditionalFormatting>
  <conditionalFormatting sqref="F14:F44">
    <cfRule type="cellIs" dxfId="3" priority="1" operator="equal">
      <formula>"CO"</formula>
    </cfRule>
    <cfRule type="cellIs" dxfId="2" priority="3" operator="equal">
      <formula>"4.5,4"</formula>
    </cfRule>
    <cfRule type="containsText" dxfId="1" priority="4" operator="containsText" text="CO">
      <formula>NOT(ISERROR(SEARCH("CO",F14)))</formula>
    </cfRule>
    <cfRule type="cellIs" dxfId="0" priority="6" operator="equal">
      <formula>"L"</formula>
    </cfRule>
  </conditionalFormatting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Note" prompt="Please select from drop down" xr:uid="{0473F7BE-E80C-4AFC-83A4-5806B8141F89}">
          <x14:formula1>
            <xm:f>Sheet1!$D$2:$D$11</xm:f>
          </x14:formula1>
          <xm:sqref>F14:F44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CCC4-C488-4795-BBD3-2BE949622405}">
  <dimension ref="C2:D11"/>
  <sheetViews>
    <sheetView workbookViewId="0">
      <selection activeCell="D5" sqref="D5"/>
    </sheetView>
  </sheetViews>
  <sheetFormatPr defaultRowHeight="14.5" x14ac:dyDescent="0.35"/>
  <cols>
    <col min="3" max="3" width="15.54296875" bestFit="1" customWidth="1"/>
    <col min="4" max="4" width="12.7265625" bestFit="1" customWidth="1"/>
  </cols>
  <sheetData>
    <row r="2" spans="3:4" x14ac:dyDescent="0.35">
      <c r="D2" s="2" t="s">
        <v>20</v>
      </c>
    </row>
    <row r="3" spans="3:4" x14ac:dyDescent="0.35">
      <c r="C3" t="s">
        <v>21</v>
      </c>
      <c r="D3" s="5">
        <v>8</v>
      </c>
    </row>
    <row r="4" spans="3:4" x14ac:dyDescent="0.35">
      <c r="C4" t="s">
        <v>21</v>
      </c>
      <c r="D4" s="5">
        <v>8.5</v>
      </c>
    </row>
    <row r="5" spans="3:4" x14ac:dyDescent="0.35">
      <c r="C5" t="s">
        <v>21</v>
      </c>
      <c r="D5" s="5">
        <v>9</v>
      </c>
    </row>
    <row r="6" spans="3:4" x14ac:dyDescent="0.35">
      <c r="C6" t="s">
        <v>21</v>
      </c>
      <c r="D6" s="5">
        <v>4</v>
      </c>
    </row>
    <row r="7" spans="3:4" x14ac:dyDescent="0.35">
      <c r="C7" t="s">
        <v>21</v>
      </c>
      <c r="D7" s="5">
        <v>4.5</v>
      </c>
    </row>
    <row r="8" spans="3:4" x14ac:dyDescent="0.35">
      <c r="C8" s="4" t="s">
        <v>22</v>
      </c>
      <c r="D8" s="2" t="s">
        <v>23</v>
      </c>
    </row>
    <row r="9" spans="3:4" x14ac:dyDescent="0.35">
      <c r="C9" s="4" t="s">
        <v>24</v>
      </c>
      <c r="D9" s="2" t="s">
        <v>25</v>
      </c>
    </row>
    <row r="10" spans="3:4" x14ac:dyDescent="0.35">
      <c r="C10" s="4" t="s">
        <v>26</v>
      </c>
      <c r="D10" s="2" t="s">
        <v>27</v>
      </c>
    </row>
    <row r="11" spans="3:4" x14ac:dyDescent="0.35">
      <c r="C11" s="4" t="s">
        <v>28</v>
      </c>
      <c r="D11" s="2" t="s">
        <v>29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5a8218-a77f-4c9c-92dd-c12a180326c3">
      <Terms xmlns="http://schemas.microsoft.com/office/infopath/2007/PartnerControls"/>
    </lcf76f155ced4ddcb4097134ff3c332f>
    <TaxCatchAll xmlns="24503ce3-dfa5-422d-b502-1339b4a775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32CDEBC6C6F04BBB6E32883938F334" ma:contentTypeVersion="18" ma:contentTypeDescription="Create a new document." ma:contentTypeScope="" ma:versionID="1df51bd25085871d0c92efe29553631a">
  <xsd:schema xmlns:xsd="http://www.w3.org/2001/XMLSchema" xmlns:xs="http://www.w3.org/2001/XMLSchema" xmlns:p="http://schemas.microsoft.com/office/2006/metadata/properties" xmlns:ns2="e45a8218-a77f-4c9c-92dd-c12a180326c3" xmlns:ns3="24503ce3-dfa5-422d-b502-1339b4a7753b" targetNamespace="http://schemas.microsoft.com/office/2006/metadata/properties" ma:root="true" ma:fieldsID="4654d1f37482e78b1e022ec330975abb" ns2:_="" ns3:_="">
    <xsd:import namespace="e45a8218-a77f-4c9c-92dd-c12a180326c3"/>
    <xsd:import namespace="24503ce3-dfa5-422d-b502-1339b4a77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a8218-a77f-4c9c-92dd-c12a180326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cd6cea1-c86d-477d-89f4-8bc8ef8e49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ce3-dfa5-422d-b502-1339b4a77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ffecc66-0024-4c64-9b52-bcb7d303b1e2}" ma:internalName="TaxCatchAll" ma:showField="CatchAllData" ma:web="24503ce3-dfa5-422d-b502-1339b4a77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450CCE-1E45-4AE3-86FE-4478EACEBE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9EA73E-F733-44C0-BA34-FF39B3333CF8}">
  <ds:schemaRefs>
    <ds:schemaRef ds:uri="http://schemas.microsoft.com/office/2006/metadata/properties"/>
    <ds:schemaRef ds:uri="http://schemas.microsoft.com/office/infopath/2007/PartnerControls"/>
    <ds:schemaRef ds:uri="e45a8218-a77f-4c9c-92dd-c12a180326c3"/>
    <ds:schemaRef ds:uri="24503ce3-dfa5-422d-b502-1339b4a7753b"/>
  </ds:schemaRefs>
</ds:datastoreItem>
</file>

<file path=customXml/itemProps3.xml><?xml version="1.0" encoding="utf-8"?>
<ds:datastoreItem xmlns:ds="http://schemas.openxmlformats.org/officeDocument/2006/customXml" ds:itemID="{8EF0C871-7C2C-4B66-ABD3-C4F8B8C31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5a8218-a77f-4c9c-92dd-c12a180326c3"/>
    <ds:schemaRef ds:uri="24503ce3-dfa5-422d-b502-1339b4a77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Optimum Time 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2026-10-26T03:27:30Z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0x010100B232CDEBC6C6F04BBB6E32883938F334</vt:lpwstr>
  </property>
</Properties>
</file>